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ar_Client_List_Organized_100" sheetId="1" r:id="rId5"/>
  </sheets>
  <definedNames/>
  <calcPr/>
</workbook>
</file>

<file path=xl/sharedStrings.xml><?xml version="1.0" encoding="utf-8"?>
<sst xmlns="http://schemas.openxmlformats.org/spreadsheetml/2006/main" count="120" uniqueCount="106">
  <si>
    <t>House Number</t>
  </si>
  <si>
    <t>Street_Name</t>
  </si>
  <si>
    <t>City</t>
  </si>
  <si>
    <t>State</t>
  </si>
  <si>
    <t>Zip Code</t>
  </si>
  <si>
    <t>First Name</t>
  </si>
  <si>
    <t>Last Name</t>
  </si>
  <si>
    <t>Age</t>
  </si>
  <si>
    <t>Birthday</t>
  </si>
  <si>
    <t>Occupation</t>
  </si>
  <si>
    <t>Parcel ID</t>
  </si>
  <si>
    <t>Acres</t>
  </si>
  <si>
    <t>Square Feet</t>
  </si>
  <si>
    <t>Year Built</t>
  </si>
  <si>
    <t>Building Worth</t>
  </si>
  <si>
    <t>Land Worth</t>
  </si>
  <si>
    <t>Last Sold For</t>
  </si>
  <si>
    <t>Current Worth</t>
  </si>
  <si>
    <t>Next Year's Projection (Low)</t>
  </si>
  <si>
    <t>Next Year's Projection (High)</t>
  </si>
  <si>
    <t>Next Year Projection Low with Solar Panels</t>
  </si>
  <si>
    <t>Next Year's High Projection with Solar Panels</t>
  </si>
  <si>
    <t>Estimated Yearly Savings</t>
  </si>
  <si>
    <t>Phone 1</t>
  </si>
  <si>
    <t>Phone 2</t>
  </si>
  <si>
    <t>Phone 3</t>
  </si>
  <si>
    <t>Phone 4</t>
  </si>
  <si>
    <t>Phone 5</t>
  </si>
  <si>
    <t>Email 1</t>
  </si>
  <si>
    <t>Email 2</t>
  </si>
  <si>
    <t>Email 3</t>
  </si>
  <si>
    <t>Email 4</t>
  </si>
  <si>
    <t>Email 5</t>
  </si>
  <si>
    <t>Date Contacted</t>
  </si>
  <si>
    <t>Method of Contact</t>
  </si>
  <si>
    <t>Result of Contact</t>
  </si>
  <si>
    <t>Notes</t>
  </si>
  <si>
    <t>Next Follow-Up Date</t>
  </si>
  <si>
    <t>Cantelow Street</t>
  </si>
  <si>
    <t>Vacaville</t>
  </si>
  <si>
    <t>Ca</t>
  </si>
  <si>
    <t>John</t>
  </si>
  <si>
    <t>Dicochea</t>
  </si>
  <si>
    <t>na</t>
  </si>
  <si>
    <t>707-301-8032</t>
  </si>
  <si>
    <t>707-301-8232</t>
  </si>
  <si>
    <t>707-449-8056</t>
  </si>
  <si>
    <t>831-722-8909</t>
  </si>
  <si>
    <t>dicochea@hotmail.com</t>
  </si>
  <si>
    <t>jdicochea1@hotmail.com</t>
  </si>
  <si>
    <t>Diane</t>
  </si>
  <si>
    <t>Brown</t>
  </si>
  <si>
    <t>707-451-9032</t>
  </si>
  <si>
    <t>707-449-8674</t>
  </si>
  <si>
    <t>303-399-4057</t>
  </si>
  <si>
    <t>barbara4anthony@gmail.com</t>
  </si>
  <si>
    <t>sarah.healy511@gmail.com</t>
  </si>
  <si>
    <t>edwardhealy164@icloud.com</t>
  </si>
  <si>
    <t>Diane owns 1006 Fransico Ct in Suisun at 2700sqft</t>
  </si>
  <si>
    <t>Joe</t>
  </si>
  <si>
    <t>Waters</t>
  </si>
  <si>
    <t>707-365-9477</t>
  </si>
  <si>
    <t>707-644-8705</t>
  </si>
  <si>
    <t>707-452-9038</t>
  </si>
  <si>
    <t>707-451-2889</t>
  </si>
  <si>
    <t>erancher@sbcglobal.net</t>
  </si>
  <si>
    <t>jrancher3909@yahoo.com</t>
  </si>
  <si>
    <t>2 buildings on property, flood risk.</t>
  </si>
  <si>
    <t>Sharon</t>
  </si>
  <si>
    <t>Coudyser</t>
  </si>
  <si>
    <t>DIrector of Community Concerns Pasadena</t>
  </si>
  <si>
    <t>707-447-1356</t>
  </si>
  <si>
    <t>562-804-2981</t>
  </si>
  <si>
    <t>562-219-5780</t>
  </si>
  <si>
    <t>s.coudyser@ca.rr.com</t>
  </si>
  <si>
    <t>crobinson@besttransport.com</t>
  </si>
  <si>
    <t>mcoudyser@gmail.com</t>
  </si>
  <si>
    <t>3 buildings on property.</t>
  </si>
  <si>
    <t xml:space="preserve">John </t>
  </si>
  <si>
    <t>Adams</t>
  </si>
  <si>
    <t>Associate Producer</t>
  </si>
  <si>
    <t>707-447-3084</t>
  </si>
  <si>
    <t>707-449-4569</t>
  </si>
  <si>
    <t>907-332-0331</t>
  </si>
  <si>
    <t>707-447-0576</t>
  </si>
  <si>
    <t>allovus5@yahoo.com</t>
  </si>
  <si>
    <t>bjtennis@msn.com</t>
  </si>
  <si>
    <t>Rhette</t>
  </si>
  <si>
    <t>Richardson</t>
  </si>
  <si>
    <t>Mechanic</t>
  </si>
  <si>
    <t>815-281-0082</t>
  </si>
  <si>
    <t>707-249-3895</t>
  </si>
  <si>
    <t>707-628-8133</t>
  </si>
  <si>
    <t>707-452-1464</t>
  </si>
  <si>
    <t>707-449-4837</t>
  </si>
  <si>
    <t>rhett@solanoshade.com</t>
  </si>
  <si>
    <t>rrichardson@intercon-const.com</t>
  </si>
  <si>
    <t>r.richardson@solanoshade.com</t>
  </si>
  <si>
    <t xml:space="preserve">Alder Creek </t>
  </si>
  <si>
    <t>Vallejo</t>
  </si>
  <si>
    <t>ca</t>
  </si>
  <si>
    <t>jerold</t>
  </si>
  <si>
    <t>caragan</t>
  </si>
  <si>
    <t>(415) 601-0155</t>
  </si>
  <si>
    <t>jcaragan@gmail.com</t>
  </si>
  <si>
    <t>jcaragan@sbcglobal.net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</si>
</sst>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3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1">
        <v>4218.0</v>
      </c>
      <c r="B2" s="1" t="s">
        <v>38</v>
      </c>
      <c r="C2" s="1" t="s">
        <v>39</v>
      </c>
      <c r="D2" s="1" t="s">
        <v>40</v>
      </c>
      <c r="E2" s="1">
        <v>95688.0</v>
      </c>
      <c r="F2" s="1" t="s">
        <v>41</v>
      </c>
      <c r="G2" s="1" t="s">
        <v>42</v>
      </c>
      <c r="H2" s="1">
        <v>51.0</v>
      </c>
      <c r="I2" s="2">
        <v>26574.0</v>
      </c>
      <c r="J2" s="1" t="s">
        <v>43</v>
      </c>
      <c r="K2" s="1">
        <v>1.0517018E8</v>
      </c>
      <c r="L2" s="1">
        <v>4.18</v>
      </c>
      <c r="M2" s="1">
        <v>2051.0</v>
      </c>
      <c r="N2" s="1">
        <v>1972.0</v>
      </c>
      <c r="O2" s="3">
        <v>310544.0</v>
      </c>
      <c r="P2" s="3">
        <v>236055.0</v>
      </c>
      <c r="R2" s="3">
        <v>990500.0</v>
      </c>
      <c r="S2" s="3">
        <v>950000.0</v>
      </c>
      <c r="T2" s="3">
        <v>1008000.0</v>
      </c>
      <c r="U2" s="3">
        <f t="shared" ref="U2:U4" si="1">(S2) *0.05 + (S2)</f>
        <v>997500</v>
      </c>
      <c r="V2" s="4">
        <f>(T2)*0.05 +(T2)</f>
        <v>1058400</v>
      </c>
      <c r="W2" s="5">
        <f> (M2) *12</f>
        <v>24612</v>
      </c>
      <c r="X2" s="1" t="s">
        <v>44</v>
      </c>
      <c r="Y2" s="1" t="s">
        <v>45</v>
      </c>
      <c r="Z2" s="1" t="s">
        <v>46</v>
      </c>
      <c r="AA2" s="1" t="s">
        <v>47</v>
      </c>
      <c r="AC2" s="1" t="s">
        <v>48</v>
      </c>
      <c r="AD2" s="1" t="s">
        <v>49</v>
      </c>
    </row>
    <row r="3">
      <c r="A3" s="1">
        <v>4418.0</v>
      </c>
      <c r="B3" s="1" t="s">
        <v>38</v>
      </c>
      <c r="C3" s="1" t="s">
        <v>39</v>
      </c>
      <c r="D3" s="1" t="s">
        <v>40</v>
      </c>
      <c r="F3" s="1" t="s">
        <v>50</v>
      </c>
      <c r="G3" s="1" t="s">
        <v>51</v>
      </c>
      <c r="H3" s="1">
        <v>75.0</v>
      </c>
      <c r="I3" s="2">
        <v>17920.0</v>
      </c>
      <c r="J3" s="1" t="s">
        <v>43</v>
      </c>
      <c r="K3" s="1">
        <v>1.0518033E8</v>
      </c>
      <c r="L3" s="1">
        <v>4.84</v>
      </c>
      <c r="M3" s="1">
        <v>2162.0</v>
      </c>
      <c r="N3" s="1">
        <v>1977.0</v>
      </c>
      <c r="O3" s="3">
        <v>459758.0</v>
      </c>
      <c r="P3" s="3">
        <v>100000.0</v>
      </c>
      <c r="Q3" s="3">
        <v>497000.0</v>
      </c>
      <c r="R3" s="3">
        <v>1011000.0</v>
      </c>
      <c r="S3" s="3">
        <v>970000.0</v>
      </c>
      <c r="T3" s="3">
        <v>1111000.0</v>
      </c>
      <c r="U3" s="3">
        <f t="shared" si="1"/>
        <v>1018500</v>
      </c>
      <c r="V3" s="4">
        <f>(T3)*0.05 +(T4)</f>
        <v>1056550</v>
      </c>
      <c r="W3" s="3">
        <f>(M3) *12</f>
        <v>25944</v>
      </c>
      <c r="X3" s="1" t="s">
        <v>52</v>
      </c>
      <c r="Y3" s="1" t="s">
        <v>53</v>
      </c>
      <c r="Z3" s="1" t="s">
        <v>54</v>
      </c>
      <c r="AC3" s="1" t="s">
        <v>55</v>
      </c>
      <c r="AD3" s="1" t="s">
        <v>56</v>
      </c>
      <c r="AE3" s="1" t="s">
        <v>57</v>
      </c>
      <c r="AK3" s="1" t="s">
        <v>58</v>
      </c>
    </row>
    <row r="4">
      <c r="A4" s="1">
        <v>4324.0</v>
      </c>
      <c r="B4" s="1" t="s">
        <v>38</v>
      </c>
      <c r="C4" s="1" t="s">
        <v>39</v>
      </c>
      <c r="D4" s="1" t="s">
        <v>40</v>
      </c>
      <c r="F4" s="1" t="s">
        <v>59</v>
      </c>
      <c r="G4" s="1" t="s">
        <v>60</v>
      </c>
      <c r="H4" s="1">
        <v>82.0</v>
      </c>
      <c r="I4" s="2">
        <v>15472.0</v>
      </c>
      <c r="J4" s="1" t="s">
        <v>43</v>
      </c>
      <c r="K4" s="1">
        <v>1.0518045E8</v>
      </c>
      <c r="L4" s="1">
        <v>4.6</v>
      </c>
      <c r="M4" s="1">
        <v>2067.0</v>
      </c>
      <c r="N4" s="1">
        <v>1981.0</v>
      </c>
      <c r="O4" s="3">
        <v>193597.0</v>
      </c>
      <c r="P4" s="3">
        <v>86960.0</v>
      </c>
      <c r="R4" s="3">
        <v>988000.0</v>
      </c>
      <c r="S4" s="3">
        <v>832000.0</v>
      </c>
      <c r="T4" s="3">
        <v>1001000.0</v>
      </c>
      <c r="U4" s="3">
        <f t="shared" si="1"/>
        <v>873600</v>
      </c>
      <c r="V4" s="4">
        <f>(T4)*0.05 + (T4)</f>
        <v>1051050</v>
      </c>
      <c r="X4" s="1" t="s">
        <v>61</v>
      </c>
      <c r="Y4" s="1" t="s">
        <v>62</v>
      </c>
      <c r="Z4" s="1" t="s">
        <v>63</v>
      </c>
      <c r="AA4" s="1" t="s">
        <v>64</v>
      </c>
      <c r="AC4" s="1" t="s">
        <v>65</v>
      </c>
      <c r="AD4" s="1" t="s">
        <v>66</v>
      </c>
      <c r="AK4" s="1" t="s">
        <v>67</v>
      </c>
    </row>
    <row r="5">
      <c r="A5" s="1">
        <v>4348.0</v>
      </c>
      <c r="B5" s="1" t="s">
        <v>38</v>
      </c>
      <c r="C5" s="1" t="s">
        <v>39</v>
      </c>
      <c r="D5" s="1"/>
      <c r="F5" s="1" t="s">
        <v>68</v>
      </c>
      <c r="G5" s="1" t="s">
        <v>69</v>
      </c>
      <c r="H5" s="1">
        <v>76.0</v>
      </c>
      <c r="I5" s="2">
        <v>17638.0</v>
      </c>
      <c r="J5" s="1" t="s">
        <v>70</v>
      </c>
      <c r="K5" s="1">
        <v>1.0518046E8</v>
      </c>
      <c r="L5" s="1">
        <v>4.69</v>
      </c>
      <c r="M5" s="1">
        <v>1904.0</v>
      </c>
      <c r="N5" s="1">
        <v>1979.0</v>
      </c>
      <c r="O5" s="3">
        <v>225025.0</v>
      </c>
      <c r="P5" s="3">
        <v>173311.0</v>
      </c>
      <c r="R5" s="3">
        <v>991700.0</v>
      </c>
      <c r="S5" s="3">
        <v>826000.0</v>
      </c>
      <c r="T5" s="3">
        <v>1062356.0</v>
      </c>
      <c r="U5" s="3"/>
      <c r="X5" s="1" t="s">
        <v>71</v>
      </c>
      <c r="Y5" s="1" t="s">
        <v>72</v>
      </c>
      <c r="Z5" s="1" t="s">
        <v>73</v>
      </c>
      <c r="AC5" s="1" t="s">
        <v>74</v>
      </c>
      <c r="AD5" s="1" t="s">
        <v>75</v>
      </c>
      <c r="AE5" s="1" t="s">
        <v>76</v>
      </c>
      <c r="AK5" s="1" t="s">
        <v>77</v>
      </c>
    </row>
    <row r="6">
      <c r="A6" s="1">
        <v>4380.0</v>
      </c>
      <c r="B6" s="1" t="s">
        <v>38</v>
      </c>
      <c r="C6" s="1" t="s">
        <v>39</v>
      </c>
      <c r="D6" s="1"/>
      <c r="F6" s="1" t="s">
        <v>78</v>
      </c>
      <c r="G6" s="1" t="s">
        <v>79</v>
      </c>
      <c r="H6" s="1">
        <v>86.0</v>
      </c>
      <c r="I6" s="1">
        <v>1938.0</v>
      </c>
      <c r="J6" s="1" t="s">
        <v>80</v>
      </c>
      <c r="K6" s="1">
        <v>1.0518047E8</v>
      </c>
      <c r="L6" s="1">
        <v>4.63</v>
      </c>
      <c r="M6" s="1">
        <v>2576.0</v>
      </c>
      <c r="N6" s="1">
        <v>1979.0</v>
      </c>
      <c r="O6" s="3">
        <v>187259.0</v>
      </c>
      <c r="P6" s="3">
        <v>72483.0</v>
      </c>
      <c r="R6" s="3">
        <v>1065800.0</v>
      </c>
      <c r="S6" s="3">
        <v>999455.0</v>
      </c>
      <c r="T6" s="3">
        <v>1106642.0</v>
      </c>
      <c r="U6" s="3"/>
      <c r="X6" s="1" t="s">
        <v>81</v>
      </c>
      <c r="Y6" s="1" t="s">
        <v>82</v>
      </c>
      <c r="Z6" s="1" t="s">
        <v>83</v>
      </c>
      <c r="AA6" s="1" t="s">
        <v>84</v>
      </c>
      <c r="AC6" s="1" t="s">
        <v>85</v>
      </c>
      <c r="AD6" s="1" t="s">
        <v>86</v>
      </c>
    </row>
    <row r="7">
      <c r="A7" s="1">
        <v>4393.0</v>
      </c>
      <c r="B7" s="1" t="s">
        <v>38</v>
      </c>
      <c r="C7" s="1" t="s">
        <v>39</v>
      </c>
      <c r="D7" s="1"/>
      <c r="F7" s="1" t="s">
        <v>87</v>
      </c>
      <c r="G7" s="1" t="s">
        <v>88</v>
      </c>
      <c r="H7" s="1">
        <v>86.0</v>
      </c>
      <c r="I7" s="2"/>
      <c r="J7" s="1" t="s">
        <v>89</v>
      </c>
      <c r="K7" s="1">
        <v>1.0518081E8</v>
      </c>
      <c r="L7" s="1">
        <v>4.9</v>
      </c>
      <c r="M7" s="1">
        <v>2024.0</v>
      </c>
      <c r="N7" s="1">
        <v>1978.0</v>
      </c>
      <c r="O7" s="3">
        <v>196753.0</v>
      </c>
      <c r="P7" s="3">
        <v>62135.0</v>
      </c>
      <c r="R7" s="3">
        <v>1135576.0</v>
      </c>
      <c r="S7" s="3">
        <v>1107000.0</v>
      </c>
      <c r="T7" s="3">
        <v>1137000.0</v>
      </c>
      <c r="U7" s="3"/>
      <c r="X7" s="1" t="s">
        <v>90</v>
      </c>
      <c r="Y7" s="1" t="s">
        <v>91</v>
      </c>
      <c r="Z7" s="1" t="s">
        <v>92</v>
      </c>
      <c r="AA7" s="1" t="s">
        <v>93</v>
      </c>
      <c r="AB7" s="1" t="s">
        <v>94</v>
      </c>
      <c r="AC7" s="1" t="s">
        <v>95</v>
      </c>
      <c r="AD7" s="1" t="s">
        <v>96</v>
      </c>
      <c r="AE7" s="1" t="s">
        <v>97</v>
      </c>
    </row>
    <row r="8">
      <c r="A8" s="1"/>
      <c r="B8" s="1"/>
      <c r="C8" s="1"/>
      <c r="D8" s="1"/>
      <c r="F8" s="1"/>
      <c r="G8" s="1"/>
      <c r="H8" s="1"/>
      <c r="I8" s="2"/>
      <c r="J8" s="1"/>
      <c r="K8" s="1"/>
      <c r="L8" s="1"/>
      <c r="M8" s="1"/>
      <c r="N8" s="1"/>
      <c r="O8" s="3"/>
      <c r="P8" s="3"/>
      <c r="R8" s="3"/>
      <c r="T8" s="3"/>
      <c r="U8" s="3"/>
    </row>
    <row r="9">
      <c r="A9" s="1"/>
      <c r="B9" s="1"/>
      <c r="C9" s="1"/>
      <c r="D9" s="1"/>
      <c r="F9" s="1"/>
      <c r="G9" s="1"/>
      <c r="H9" s="1"/>
      <c r="I9" s="2"/>
      <c r="J9" s="1"/>
      <c r="K9" s="1"/>
      <c r="L9" s="1"/>
      <c r="M9" s="1"/>
      <c r="N9" s="1"/>
      <c r="O9" s="3"/>
      <c r="P9" s="3"/>
      <c r="R9" s="3"/>
      <c r="T9" s="3"/>
      <c r="U9" s="3"/>
    </row>
    <row r="10">
      <c r="A10" s="1"/>
      <c r="B10" s="1"/>
      <c r="C10" s="1"/>
      <c r="D10" s="1"/>
      <c r="F10" s="1"/>
      <c r="G10" s="1"/>
      <c r="H10" s="1"/>
      <c r="I10" s="2"/>
      <c r="J10" s="1"/>
      <c r="K10" s="1"/>
      <c r="L10" s="1"/>
      <c r="M10" s="1"/>
      <c r="N10" s="1"/>
      <c r="O10" s="3"/>
      <c r="P10" s="3"/>
      <c r="R10" s="3"/>
      <c r="T10" s="3"/>
      <c r="U10" s="3"/>
    </row>
    <row r="11">
      <c r="A11" s="1">
        <v>7096.0</v>
      </c>
      <c r="B11" s="1" t="s">
        <v>98</v>
      </c>
      <c r="C11" s="1" t="s">
        <v>99</v>
      </c>
      <c r="D11" s="1" t="s">
        <v>100</v>
      </c>
      <c r="F11" s="1" t="s">
        <v>101</v>
      </c>
      <c r="G11" s="1" t="s">
        <v>102</v>
      </c>
      <c r="H11" s="1"/>
      <c r="I11" s="2"/>
      <c r="J11" s="1"/>
      <c r="K11" s="1">
        <v>1.8243103E8</v>
      </c>
      <c r="L11" s="1"/>
      <c r="M11" s="1"/>
      <c r="N11" s="1">
        <v>2005.0</v>
      </c>
      <c r="O11" s="3"/>
      <c r="P11" s="3"/>
      <c r="R11" s="3"/>
      <c r="T11" s="3"/>
      <c r="U11" s="3"/>
      <c r="X11" s="1"/>
      <c r="Y11" s="1" t="s">
        <v>103</v>
      </c>
      <c r="AC11" s="1" t="s">
        <v>104</v>
      </c>
      <c r="AD11" s="1" t="s">
        <v>105</v>
      </c>
    </row>
    <row r="12">
      <c r="A12" s="1"/>
      <c r="B12" s="1"/>
      <c r="C12" s="1"/>
      <c r="D12" s="1"/>
      <c r="F12" s="1"/>
      <c r="G12" s="1"/>
      <c r="H12" s="1"/>
      <c r="I12" s="2"/>
      <c r="J12" s="1"/>
      <c r="K12" s="1"/>
      <c r="L12" s="1"/>
      <c r="M12" s="1"/>
      <c r="N12" s="1"/>
      <c r="O12" s="3"/>
      <c r="P12" s="3"/>
      <c r="R12" s="3"/>
      <c r="T12" s="3"/>
      <c r="U12" s="3"/>
    </row>
  </sheetData>
  <drawing r:id="rId1"/>
</worksheet>
</file>