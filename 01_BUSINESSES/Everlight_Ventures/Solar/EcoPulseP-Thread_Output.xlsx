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Optimized Power Allocatio" sheetId="1" r:id="rId5"/>
    <sheet state="visible" name="System_Profitability" sheetId="2" r:id="rId6"/>
    <sheet state="visible" name="Monthly_Budget_&amp;_Expenses" sheetId="3" r:id="rId7"/>
  </sheets>
  <definedNames/>
  <calcPr/>
</workbook>
</file>

<file path=xl/sharedStrings.xml><?xml version="1.0" encoding="utf-8"?>
<sst xmlns="http://schemas.openxmlformats.org/spreadsheetml/2006/main" count="130" uniqueCount="124">
  <si>
    <t>🔋 Optimized Power Allocation &amp; Battery Reserves (Updated)</t>
  </si>
  <si>
    <t>(EcoFlow 6.144 kWh Hub + 2000W Solar Panels)</t>
  </si>
  <si>
    <t>📌 Overview</t>
  </si>
  <si>
    <t>This update accounts for: ✅ Using the 3D Printer &amp; Welder only on weekends (one at a time).</t>
  </si>
  <si>
    <t>✅ Tracking battery reserves before and after each major use.</t>
  </si>
  <si>
    <t>✅ Ensuring power for daily operations (Scooter, AI Node, Logistics, Mining).</t>
  </si>
  <si>
    <t>With 2000W solar panels, the system generates 10-12 kWh/day, ensuring battery stability even on high-use weekends.</t>
  </si>
  <si>
    <t>🔹 Device Energy Breakdown &amp; Battery Impact</t>
  </si>
  <si>
    <t>Device</t>
  </si>
  <si>
    <t>Power Usage (W)</t>
  </si>
  <si>
    <t>Use Per Session (Hrs)</t>
  </si>
  <si>
    <t>Energy Per Session (kWh)</t>
  </si>
  <si>
    <t>Charging Frequency</t>
  </si>
  <si>
    <t>Inmotion RS Scooter (3,840Wh Battery)</t>
  </si>
  <si>
    <t>1,500W</t>
  </si>
  <si>
    <t>2.5 hrs (full charge)</t>
  </si>
  <si>
    <t>3.84 kWh</t>
  </si>
  <si>
    <t>Every 2 days</t>
  </si>
  <si>
    <t>Bambu Lab A1 Mini 3D Printer</t>
  </si>
  <si>
    <t>100W</t>
  </si>
  <si>
    <t>8 hrs (per print job)</t>
  </si>
  <si>
    <t>0.8 kWh</t>
  </si>
  <si>
    <t>Weekends Only</t>
  </si>
  <si>
    <t>YESWELDER MIG-250 PRO</t>
  </si>
  <si>
    <t>3,000W</t>
  </si>
  <si>
    <t>3 hrs per session</t>
  </si>
  <si>
    <t>9.0 kWh</t>
  </si>
  <si>
    <t>Weekends Only (1 session/day)</t>
  </si>
  <si>
    <t>Office Server &amp; AI Node (Verdant_Coin)</t>
  </si>
  <si>
    <t>200W</t>
  </si>
  <si>
    <t>24 hrs/day</t>
  </si>
  <si>
    <t>4.8 kWh</t>
  </si>
  <si>
    <t>Daily</t>
  </si>
  <si>
    <t>📌 Total Weekly Energy Usage (Updated):</t>
  </si>
  <si>
    <t>✅ Scooter (4x per week @ 3.84 kWh/charge) → 15.36 kWh/week</t>
  </si>
  <si>
    <t>✅ 3D Printing (2x per weekend @ 0.8 kWh/session) → 1.6 kWh/week</t>
  </si>
  <si>
    <t>✅ Welding (1x per weekend @ 9.0 kWh/session) → 9 kWh/week</t>
  </si>
  <si>
    <t>✅ AI Node (4.8 kWh/day) → 33.6 kWh/week</t>
  </si>
  <si>
    <t>🔋 Battery Capacity Before &amp; After Each Major Use</t>
  </si>
  <si>
    <t>Activity</t>
  </si>
  <si>
    <t>Battery Before (kWh)</t>
  </si>
  <si>
    <t>Energy Used (kWh)</t>
  </si>
  <si>
    <t>Battery After (kWh)</t>
  </si>
  <si>
    <t>Notes</t>
  </si>
  <si>
    <t>Solar Charge (Morning 10 AM)</t>
  </si>
  <si>
    <t>0% → 100% (6.144 kWh)</t>
  </si>
  <si>
    <t>Full Capacity</t>
  </si>
  <si>
    <t>Solar replenishes system daily</t>
  </si>
  <si>
    <t>Scooter Charge (Every 2 Days)</t>
  </si>
  <si>
    <t>6.144 kWh</t>
  </si>
  <si>
    <t>-3.84 kWh</t>
  </si>
  <si>
    <t>~2.3 kWh</t>
  </si>
  <si>
    <t>Charge after solar peak hours</t>
  </si>
  <si>
    <t>AI Node (Daily 4.8 kWh Use)</t>
  </si>
  <si>
    <t>2.3 kWh + Solar (10 kWh/day)</t>
  </si>
  <si>
    <t>-4.8 kWh</t>
  </si>
  <si>
    <t>~7.5 kWh (balance restored by solar)</t>
  </si>
  <si>
    <t>AI Node runs 24/7</t>
  </si>
  <si>
    <t>Weekend 3D Printing (Sat AM)</t>
  </si>
  <si>
    <t>-0.8 kWh</t>
  </si>
  <si>
    <t>~5.3 kWh</t>
  </si>
  <si>
    <t>Minor impact on reserves</t>
  </si>
  <si>
    <t>Weekend Welding (Sat PM)</t>
  </si>
  <si>
    <t>5.3 kWh</t>
  </si>
  <si>
    <t>-9.0 kWh</t>
  </si>
  <si>
    <t>0 kWh (must wait for solar)</t>
  </si>
  <si>
    <t>Requires 80% reserve before use</t>
  </si>
  <si>
    <t>Solar Recharge (Sunday AM)</t>
  </si>
  <si>
    <t>0 kWh → 100% (6.144 kWh)</t>
  </si>
  <si>
    <t>Ensures welding can happen</t>
  </si>
  <si>
    <t>📌 Key Takeaways: ✅ Scooter and AI Node will always have power with solar daily replenishment.</t>
  </si>
  <si>
    <t>✅ 3D Printing can run without affecting battery reserves.</t>
  </si>
  <si>
    <t>✅ Welding requires waiting for full solar recharge before use (Sunday instead of Saturday if needed).</t>
  </si>
  <si>
    <t>✅ Ensures battery never drops below 0% for essential functions.</t>
  </si>
  <si>
    <t>🔹 Daily &amp; Weekend Energy Flow</t>
  </si>
  <si>
    <t>Day</t>
  </si>
  <si>
    <t>Solar Generation (kWh/day)</t>
  </si>
  <si>
    <t>Total Energy Used (kWh/day)</t>
  </si>
  <si>
    <t>Battery Status Before &amp; After</t>
  </si>
  <si>
    <t>Monday - Friday</t>
  </si>
  <si>
    <t>10-12 kWh</t>
  </si>
  <si>
    <t>7.6 - 8.64 kWh (Scooter + AI Node)</t>
  </si>
  <si>
    <t>~6.144 kWh → ~2.5 kWh → Full</t>
  </si>
  <si>
    <t>Saturday</t>
  </si>
  <si>
    <t>10.4 kWh (Scooter + AI Node + 3D Printing)</t>
  </si>
  <si>
    <t>~6.144 kWh → 1.7 kWh → Full</t>
  </si>
  <si>
    <t>Sunday</t>
  </si>
  <si>
    <t>13.8 kWh (Scooter + AI Node + Welding)</t>
  </si>
  <si>
    <t>~6.144 kWh → 0 kWh → Full</t>
  </si>
  <si>
    <t>📌 No risk of energy shortages! The system remains balanced with solar during the week and weekend energy management. 🚀</t>
  </si>
  <si>
    <t>✅ Everlight Logistics is fully energy optimized for smooth crypto, e-commerce, and mobility operations.</t>
  </si>
  <si>
    <t>.</t>
  </si>
  <si>
    <t>🔹 Monthly Budget &amp; Expenses</t>
  </si>
  <si>
    <t>📌 A breakdown of your business &amp; personal financial plan.</t>
  </si>
  <si>
    <t>Category</t>
  </si>
  <si>
    <t>Amount (USD)</t>
  </si>
  <si>
    <t>PG&amp;E Income (After Tax)</t>
  </si>
  <si>
    <t>Monthly salary from PG&amp;E job</t>
  </si>
  <si>
    <t>Total Monthly Expenses</t>
  </si>
  <si>
    <t>Recurring bills &amp; automation costs</t>
  </si>
  <si>
    <t>Secured Credit Card (Self - $300 Limit)</t>
  </si>
  <si>
    <t>Credit-building payments</t>
  </si>
  <si>
    <t>Capital One Credit Card ($300 Limit)</t>
  </si>
  <si>
    <t>Planned New Credit Lines</t>
  </si>
  <si>
    <t>Expansion of business credit</t>
  </si>
  <si>
    <t>Rent &amp; Storage Unit</t>
  </si>
  <si>
    <t>Housing &amp; storage rental</t>
  </si>
  <si>
    <t>Scooter &amp; Charging Costs</t>
  </si>
  <si>
    <t>Transportation &amp; energy expenses</t>
  </si>
  <si>
    <t>Food &amp; Nutrition</t>
  </si>
  <si>
    <t>Groceries, meal plans</t>
  </si>
  <si>
    <t>Amazon &amp; Business Tools</t>
  </si>
  <si>
    <t>Equipment, materials, business investments</t>
  </si>
  <si>
    <t>AI/Automation Subscriptions</t>
  </si>
  <si>
    <t>n8n, AI services, cloud storage</t>
  </si>
  <si>
    <t>Savings &amp; Investment (Crypto, Staking, etc.)</t>
  </si>
  <si>
    <t>Monthly crypto &amp; investment allocations</t>
  </si>
  <si>
    <t>Slack &amp; Workspace Management</t>
  </si>
  <si>
    <t>Premium Slack for automation</t>
  </si>
  <si>
    <t>n8n Hosting &amp; API Access</t>
  </si>
  <si>
    <t>Cloud workflow automation</t>
  </si>
  <si>
    <t>Remaining Budget for Expansion</t>
  </si>
  <si>
    <t>Extra funds for scaling</t>
  </si>
  <si>
    <t>📌 Budget ensures financial stability, credit restoration, and automation costs.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</si>
</sst>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1" t="s">
        <v>2</v>
      </c>
    </row>
    <row r="4">
      <c r="A4" s="3"/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3"/>
    </row>
    <row r="9">
      <c r="A9" s="1" t="s">
        <v>6</v>
      </c>
    </row>
    <row r="10">
      <c r="A10" s="3"/>
    </row>
    <row r="11">
      <c r="A11" s="2" t="s">
        <v>7</v>
      </c>
    </row>
    <row r="12">
      <c r="A12" s="4" t="s">
        <v>8</v>
      </c>
      <c r="B12" s="4" t="s">
        <v>9</v>
      </c>
      <c r="C12" s="4" t="s">
        <v>10</v>
      </c>
      <c r="D12" s="4" t="s">
        <v>11</v>
      </c>
      <c r="E12" s="4" t="s">
        <v>12</v>
      </c>
    </row>
    <row r="13">
      <c r="A13" s="2" t="s">
        <v>13</v>
      </c>
      <c r="B13" s="2" t="s">
        <v>14</v>
      </c>
      <c r="C13" s="2" t="s">
        <v>15</v>
      </c>
      <c r="D13" s="2" t="s">
        <v>16</v>
      </c>
      <c r="E13" s="2" t="s">
        <v>17</v>
      </c>
    </row>
    <row r="14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22</v>
      </c>
    </row>
    <row r="15">
      <c r="A15" s="2" t="s">
        <v>23</v>
      </c>
      <c r="B15" s="2" t="s">
        <v>24</v>
      </c>
      <c r="C15" s="2" t="s">
        <v>25</v>
      </c>
      <c r="D15" s="2" t="s">
        <v>26</v>
      </c>
      <c r="E15" s="2" t="s">
        <v>27</v>
      </c>
    </row>
    <row r="16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32</v>
      </c>
    </row>
    <row r="17">
      <c r="A17" s="5"/>
    </row>
    <row r="18">
      <c r="A18" s="2" t="s">
        <v>33</v>
      </c>
    </row>
    <row r="19">
      <c r="A19" s="2" t="s">
        <v>34</v>
      </c>
    </row>
    <row r="20">
      <c r="A20" s="2" t="s">
        <v>35</v>
      </c>
    </row>
    <row r="21">
      <c r="A21" s="2" t="s">
        <v>36</v>
      </c>
    </row>
    <row r="22">
      <c r="A22" s="2" t="s">
        <v>37</v>
      </c>
    </row>
    <row r="23">
      <c r="A23" s="5"/>
    </row>
    <row r="24">
      <c r="A24" s="2" t="s">
        <v>38</v>
      </c>
    </row>
    <row r="25">
      <c r="A25" s="4" t="s">
        <v>39</v>
      </c>
      <c r="B25" s="4" t="s">
        <v>40</v>
      </c>
      <c r="C25" s="4" t="s">
        <v>41</v>
      </c>
      <c r="D25" s="4" t="s">
        <v>42</v>
      </c>
      <c r="E25" s="4" t="s">
        <v>43</v>
      </c>
    </row>
    <row r="26">
      <c r="A26" s="2" t="s">
        <v>44</v>
      </c>
      <c r="B26" s="2" t="s">
        <v>45</v>
      </c>
      <c r="C26" s="5" t="str">
        <f>+10-12 kWh from solar</f>
        <v>#ERROR!</v>
      </c>
      <c r="D26" s="2" t="s">
        <v>46</v>
      </c>
      <c r="E26" s="2" t="s">
        <v>47</v>
      </c>
    </row>
    <row r="27">
      <c r="A27" s="2" t="s">
        <v>48</v>
      </c>
      <c r="B27" s="2" t="s">
        <v>49</v>
      </c>
      <c r="C27" s="2" t="s">
        <v>50</v>
      </c>
      <c r="D27" s="2" t="s">
        <v>51</v>
      </c>
      <c r="E27" s="2" t="s">
        <v>52</v>
      </c>
    </row>
    <row r="28">
      <c r="A28" s="2" t="s">
        <v>53</v>
      </c>
      <c r="B28" s="2" t="s">
        <v>54</v>
      </c>
      <c r="C28" s="2" t="s">
        <v>55</v>
      </c>
      <c r="D28" s="2" t="s">
        <v>56</v>
      </c>
      <c r="E28" s="2" t="s">
        <v>57</v>
      </c>
    </row>
    <row r="29">
      <c r="A29" s="2" t="s">
        <v>58</v>
      </c>
      <c r="B29" s="2" t="s">
        <v>49</v>
      </c>
      <c r="C29" s="2" t="s">
        <v>59</v>
      </c>
      <c r="D29" s="2" t="s">
        <v>60</v>
      </c>
      <c r="E29" s="2" t="s">
        <v>61</v>
      </c>
    </row>
    <row r="30">
      <c r="A30" s="2" t="s">
        <v>62</v>
      </c>
      <c r="B30" s="2" t="s">
        <v>63</v>
      </c>
      <c r="C30" s="2" t="s">
        <v>64</v>
      </c>
      <c r="D30" s="2" t="s">
        <v>65</v>
      </c>
      <c r="E30" s="2" t="s">
        <v>66</v>
      </c>
    </row>
    <row r="31">
      <c r="A31" s="2" t="s">
        <v>67</v>
      </c>
      <c r="B31" s="2" t="s">
        <v>68</v>
      </c>
      <c r="C31" s="5" t="str">
        <f>+10-12 kWh from solar</f>
        <v>#ERROR!</v>
      </c>
      <c r="D31" s="2" t="s">
        <v>46</v>
      </c>
      <c r="E31" s="2" t="s">
        <v>69</v>
      </c>
    </row>
    <row r="32">
      <c r="A32" s="5"/>
    </row>
    <row r="33">
      <c r="A33" s="2" t="s">
        <v>70</v>
      </c>
    </row>
    <row r="34">
      <c r="A34" s="2" t="s">
        <v>71</v>
      </c>
    </row>
    <row r="35">
      <c r="A35" s="2" t="s">
        <v>72</v>
      </c>
    </row>
    <row r="36">
      <c r="A36" s="2" t="s">
        <v>73</v>
      </c>
    </row>
    <row r="37">
      <c r="A37" s="5"/>
    </row>
    <row r="38">
      <c r="A38" s="2" t="s">
        <v>74</v>
      </c>
    </row>
    <row r="39">
      <c r="A39" s="4" t="s">
        <v>75</v>
      </c>
      <c r="B39" s="4" t="s">
        <v>76</v>
      </c>
      <c r="C39" s="4" t="s">
        <v>77</v>
      </c>
      <c r="D39" s="4" t="s">
        <v>78</v>
      </c>
    </row>
    <row r="40">
      <c r="A40" s="2" t="s">
        <v>79</v>
      </c>
      <c r="B40" s="2" t="s">
        <v>80</v>
      </c>
      <c r="C40" s="2" t="s">
        <v>81</v>
      </c>
      <c r="D40" s="2" t="s">
        <v>82</v>
      </c>
    </row>
    <row r="41">
      <c r="A41" s="2" t="s">
        <v>83</v>
      </c>
      <c r="B41" s="2" t="s">
        <v>80</v>
      </c>
      <c r="C41" s="2" t="s">
        <v>84</v>
      </c>
      <c r="D41" s="2" t="s">
        <v>85</v>
      </c>
    </row>
    <row r="42">
      <c r="A42" s="2" t="s">
        <v>86</v>
      </c>
      <c r="B42" s="2" t="s">
        <v>80</v>
      </c>
      <c r="C42" s="2" t="s">
        <v>87</v>
      </c>
      <c r="D42" s="2" t="s">
        <v>88</v>
      </c>
    </row>
    <row r="43">
      <c r="A43" s="5"/>
    </row>
    <row r="44">
      <c r="A44" s="2" t="s">
        <v>89</v>
      </c>
    </row>
    <row r="45">
      <c r="A45" s="5"/>
    </row>
    <row r="46">
      <c r="A46" s="2" t="s">
        <v>90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91</v>
      </c>
    </row>
    <row r="3">
      <c r="A3" s="2" t="s">
        <v>92</v>
      </c>
    </row>
    <row r="4">
      <c r="A4" s="5"/>
    </row>
    <row r="5">
      <c r="A5" s="2" t="s">
        <v>93</v>
      </c>
    </row>
    <row r="6">
      <c r="A6" s="5"/>
    </row>
    <row r="7">
      <c r="A7" s="4" t="s">
        <v>94</v>
      </c>
      <c r="B7" s="4" t="s">
        <v>95</v>
      </c>
      <c r="C7" s="4" t="s">
        <v>43</v>
      </c>
    </row>
    <row r="8">
      <c r="A8" s="2" t="s">
        <v>96</v>
      </c>
      <c r="B8" s="7">
        <v>2800.0</v>
      </c>
      <c r="C8" s="2" t="s">
        <v>97</v>
      </c>
    </row>
    <row r="9">
      <c r="A9" s="2" t="s">
        <v>98</v>
      </c>
      <c r="B9" s="7">
        <v>-1600.0</v>
      </c>
      <c r="C9" s="2" t="s">
        <v>99</v>
      </c>
    </row>
    <row r="10">
      <c r="A10" s="2" t="s">
        <v>100</v>
      </c>
      <c r="B10" s="7">
        <v>-50.0</v>
      </c>
      <c r="C10" s="2" t="s">
        <v>101</v>
      </c>
    </row>
    <row r="11">
      <c r="A11" s="2" t="s">
        <v>102</v>
      </c>
      <c r="B11" s="7">
        <v>-50.0</v>
      </c>
      <c r="C11" s="2" t="s">
        <v>101</v>
      </c>
    </row>
    <row r="12">
      <c r="A12" s="2" t="s">
        <v>103</v>
      </c>
      <c r="B12" s="7">
        <v>-100.0</v>
      </c>
      <c r="C12" s="2" t="s">
        <v>104</v>
      </c>
    </row>
    <row r="13">
      <c r="A13" s="2" t="s">
        <v>105</v>
      </c>
      <c r="B13" s="7">
        <v>-400.0</v>
      </c>
      <c r="C13" s="2" t="s">
        <v>106</v>
      </c>
    </row>
    <row r="14">
      <c r="A14" s="2" t="s">
        <v>107</v>
      </c>
      <c r="B14" s="7">
        <v>-200.0</v>
      </c>
      <c r="C14" s="2" t="s">
        <v>108</v>
      </c>
    </row>
    <row r="15">
      <c r="A15" s="2" t="s">
        <v>109</v>
      </c>
      <c r="B15" s="7">
        <v>-300.0</v>
      </c>
      <c r="C15" s="2" t="s">
        <v>110</v>
      </c>
    </row>
    <row r="16">
      <c r="A16" s="2" t="s">
        <v>111</v>
      </c>
      <c r="B16" s="7">
        <v>-200.0</v>
      </c>
      <c r="C16" s="2" t="s">
        <v>112</v>
      </c>
    </row>
    <row r="17">
      <c r="A17" s="2" t="s">
        <v>113</v>
      </c>
      <c r="B17" s="7">
        <v>-182.0</v>
      </c>
      <c r="C17" s="2" t="s">
        <v>114</v>
      </c>
    </row>
    <row r="18">
      <c r="A18" s="2" t="s">
        <v>115</v>
      </c>
      <c r="B18" s="7">
        <v>-200.0</v>
      </c>
      <c r="C18" s="2" t="s">
        <v>116</v>
      </c>
    </row>
    <row r="19">
      <c r="A19" s="2" t="s">
        <v>117</v>
      </c>
      <c r="B19" s="7">
        <v>-15.0</v>
      </c>
      <c r="C19" s="2" t="s">
        <v>118</v>
      </c>
    </row>
    <row r="20">
      <c r="A20" s="2" t="s">
        <v>119</v>
      </c>
      <c r="B20" s="7">
        <v>-20.0</v>
      </c>
      <c r="C20" s="2" t="s">
        <v>120</v>
      </c>
    </row>
    <row r="21">
      <c r="A21" s="2" t="s">
        <v>121</v>
      </c>
      <c r="B21" s="7">
        <v>83.0</v>
      </c>
      <c r="C21" s="2" t="s">
        <v>122</v>
      </c>
    </row>
    <row r="22">
      <c r="A22" s="5"/>
    </row>
    <row r="23">
      <c r="A23" s="2" t="s">
        <v>123</v>
      </c>
    </row>
  </sheetData>
  <drawing r:id="rId1"/>
</worksheet>
</file>